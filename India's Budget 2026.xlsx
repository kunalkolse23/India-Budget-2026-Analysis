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Pivot Table 2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<sst xmlns="http://schemas.openxmlformats.org/spreadsheetml/2006/main" count="94" uniqueCount="52">
  <si>
    <t>Ministry / Sector</t>
  </si>
  <si>
    <t>Allocation (₹ Crore)</t>
  </si>
  <si>
    <t xml:space="preserve"> </t>
  </si>
  <si>
    <t>Defence</t>
  </si>
  <si>
    <t>Railways</t>
  </si>
  <si>
    <t>Road Transport &amp; Highways</t>
  </si>
  <si>
    <t>Rural Development</t>
  </si>
  <si>
    <t>Home Affairs</t>
  </si>
  <si>
    <t>Agriculture</t>
  </si>
  <si>
    <t>Education</t>
  </si>
  <si>
    <t>Health</t>
  </si>
  <si>
    <t>Energy</t>
  </si>
  <si>
    <t>Urban Development</t>
  </si>
  <si>
    <t>IT &amp; Telecom</t>
  </si>
  <si>
    <t>Commerce &amp; Industry</t>
  </si>
  <si>
    <t>Social Welfare</t>
  </si>
  <si>
    <t>Jal Shakti (Water Resources)</t>
  </si>
  <si>
    <t>Science &amp; Technology</t>
  </si>
  <si>
    <t>Environment</t>
  </si>
  <si>
    <t>Tourism</t>
  </si>
  <si>
    <t>Civil Aviation</t>
  </si>
  <si>
    <t>MSME</t>
  </si>
  <si>
    <t>Skill Development</t>
  </si>
  <si>
    <t>Fisheries</t>
  </si>
  <si>
    <t>Food Processing</t>
  </si>
  <si>
    <t>Pharmaceuticals</t>
  </si>
  <si>
    <t>Textiles</t>
  </si>
  <si>
    <t>Renewable Energy</t>
  </si>
  <si>
    <t>Digital India Programs</t>
  </si>
  <si>
    <t>Semiconductor Mission</t>
  </si>
  <si>
    <t>Biotechnology</t>
  </si>
  <si>
    <t>Space Research</t>
  </si>
  <si>
    <t>Atomic Energy</t>
  </si>
  <si>
    <t>Police</t>
  </si>
  <si>
    <t>Disaster Management</t>
  </si>
  <si>
    <t>Pension</t>
  </si>
  <si>
    <t>Subsidies (Food)</t>
  </si>
  <si>
    <t>Fertilizer Subsidy</t>
  </si>
  <si>
    <t>Petroleum Subsidy</t>
  </si>
  <si>
    <t>Infrastructure Capital Investment</t>
  </si>
  <si>
    <t>Border Development</t>
  </si>
  <si>
    <t>North-East Development</t>
  </si>
  <si>
    <t>Cultural Affairs</t>
  </si>
  <si>
    <t>KPI</t>
  </si>
  <si>
    <t>Value</t>
  </si>
  <si>
    <t>Total Budget</t>
  </si>
  <si>
    <t>Highest Sector</t>
  </si>
  <si>
    <t>Infrastructure</t>
  </si>
  <si>
    <t>Defence Budget</t>
  </si>
  <si>
    <t>Agriculture Budget</t>
  </si>
  <si>
    <t>SUM of Allocation (₹ Crore)</t>
  </si>
  <si>
    <t xml:space="preserve">SUM of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</si>
</sst>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Allocation (₹ Crore) vs Ministry / Sector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3'!$A$2:$A$41</c:f>
            </c:strRef>
          </c:cat>
          <c:val>
            <c:numRef>
              <c:f>'Pivot Table 3'!$B$2:$B$41</c:f>
              <c:numCache/>
            </c:numRef>
          </c:val>
        </c:ser>
        <c:axId val="947659716"/>
        <c:axId val="1909962044"/>
      </c:barChart>
      <c:catAx>
        <c:axId val="9476597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Ministry / 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962044"/>
      </c:catAx>
      <c:valAx>
        <c:axId val="19099620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Allocation (₹ Crore)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6597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Sector(₹ Crore)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2'!$A$2:$A$11</c:f>
            </c:strRef>
          </c:cat>
          <c:val>
            <c:numRef>
              <c:f>'Pivot Table 2'!$B$2:$B$11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Allotted Money Per Sector (₹ Crore)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2'!$A$2:$A$41</c:f>
            </c:strRef>
          </c:cat>
          <c:val>
            <c:numRef>
              <c:f>'Pivot Table 2'!$B$2:$B$41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885825</xdr:colOff>
      <xdr:row>8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19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933450</xdr:colOff>
      <xdr:row>0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41" sheet="Sheet1"/>
  </cacheSource>
  <cacheFields>
    <cacheField name="Ministry / Sector" numFmtId="0">
      <sharedItems>
        <s v="Defence"/>
        <s v="Railways"/>
        <s v="Road Transport &amp; Highways"/>
        <s v="Rural Development"/>
        <s v="Home Affairs"/>
        <s v="Agriculture"/>
        <s v="Education"/>
        <s v="Health"/>
        <s v="Energy"/>
        <s v="Urban Development"/>
        <s v="IT &amp; Telecom"/>
        <s v="Commerce &amp; Industry"/>
        <s v="Social Welfare"/>
        <s v="Jal Shakti (Water Resources)"/>
        <s v="Science &amp; Technology"/>
        <s v="Environment"/>
        <s v="Tourism"/>
        <s v="Civil Aviation"/>
        <s v="MSME"/>
        <s v="Skill Development"/>
        <s v="Fisheries"/>
        <s v="Food Processing"/>
        <s v="Pharmaceuticals"/>
        <s v="Textiles"/>
        <s v="Renewable Energy"/>
        <s v="Digital India Programs"/>
        <s v="Semiconductor Mission"/>
        <s v="Biotechnology"/>
        <s v="Space Research"/>
        <s v="Atomic Energy"/>
        <s v="Police"/>
        <s v="Disaster Management"/>
        <s v="Pension"/>
        <s v="Subsidies (Food)"/>
        <s v="Fertilizer Subsidy"/>
        <s v="Petroleum Subsidy"/>
        <s v="Infrastructure Capital Investment"/>
        <s v="Border Development"/>
        <s v="North-East Development"/>
        <s v="Cultural Affairs"/>
      </sharedItems>
    </cacheField>
    <cacheField name="Allocation (₹ Crore)" numFmtId="0">
      <sharedItems containsSemiMixedTypes="0" containsString="0" containsNumber="1" containsInteger="1">
        <n v="785000.0"/>
        <n v="280000.0"/>
        <n v="310000.0"/>
        <n v="273108.0"/>
        <n v="255234.0"/>
        <n v="162671.0"/>
        <n v="139289.0"/>
        <n v="105530.0"/>
        <n v="109029.0"/>
        <n v="85522.0"/>
        <n v="74560.0"/>
        <n v="70296.0"/>
        <n v="62362.0"/>
        <n v="52158.0"/>
        <n v="28400.0"/>
        <n v="30500.0"/>
        <n v="26500.0"/>
        <n v="22400.0"/>
        <n v="18500.0"/>
        <n v="17200.0"/>
        <n v="14200.0"/>
        <n v="15800.0"/>
        <n v="12000.0"/>
        <n v="13200.0"/>
        <n v="19000.0"/>
        <n v="15000.0"/>
        <n v="40000.0"/>
        <n v="10000.0"/>
        <n v="13000.0"/>
        <n v="23000.0"/>
        <n v="90000.0"/>
        <n v="210000.0"/>
        <n v="205000.0"/>
        <n v="170000.0"/>
        <n v="80000.0"/>
        <n v="1220000.0"/>
        <n v="8000.0"/>
        <n v="6000.0"/>
        <n v="50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41" sheet="Sheet1"/>
  </cacheSource>
  <cacheFields>
    <cacheField name="Ministry / Sector" numFmtId="0">
      <sharedItems>
        <s v="Defence"/>
        <s v="Railways"/>
        <s v="Road Transport &amp; Highways"/>
        <s v="Rural Development"/>
        <s v="Home Affairs"/>
        <s v="Agriculture"/>
        <s v="Education"/>
        <s v="Health"/>
        <s v="Energy"/>
        <s v="Urban Development"/>
        <s v="IT &amp; Telecom"/>
        <s v="Commerce &amp; Industry"/>
        <s v="Social Welfare"/>
        <s v="Jal Shakti (Water Resources)"/>
        <s v="Science &amp; Technology"/>
        <s v="Environment"/>
        <s v="Tourism"/>
        <s v="Civil Aviation"/>
        <s v="MSME"/>
        <s v="Skill Development"/>
        <s v="Fisheries"/>
        <s v="Food Processing"/>
        <s v="Pharmaceuticals"/>
        <s v="Textiles"/>
        <s v="Renewable Energy"/>
        <s v="Digital India Programs"/>
        <s v="Semiconductor Mission"/>
        <s v="Biotechnology"/>
        <s v="Space Research"/>
        <s v="Atomic Energy"/>
        <s v="Police"/>
        <s v="Disaster Management"/>
        <s v="Pension"/>
        <s v="Subsidies (Food)"/>
        <s v="Fertilizer Subsidy"/>
        <s v="Petroleum Subsidy"/>
        <s v="Infrastructure Capital Investment"/>
        <s v="Border Development"/>
        <s v="North-East Development"/>
        <s v="Cultural Affairs"/>
      </sharedItems>
    </cacheField>
    <cacheField name="Allocation (₹ Crore)" numFmtId="0">
      <sharedItems containsSemiMixedTypes="0" containsString="0" containsNumber="1" containsInteger="1">
        <n v="785000.0"/>
        <n v="280000.0"/>
        <n v="310000.0"/>
        <n v="273108.0"/>
        <n v="255234.0"/>
        <n v="162671.0"/>
        <n v="139289.0"/>
        <n v="105530.0"/>
        <n v="109029.0"/>
        <n v="85522.0"/>
        <n v="74560.0"/>
        <n v="70296.0"/>
        <n v="62362.0"/>
        <n v="52158.0"/>
        <n v="28400.0"/>
        <n v="30500.0"/>
        <n v="26500.0"/>
        <n v="22400.0"/>
        <n v="18500.0"/>
        <n v="17200.0"/>
        <n v="14200.0"/>
        <n v="15800.0"/>
        <n v="12000.0"/>
        <n v="13200.0"/>
        <n v="19000.0"/>
        <n v="15000.0"/>
        <n v="40000.0"/>
        <n v="10000.0"/>
        <n v="13000.0"/>
        <n v="23000.0"/>
        <n v="90000.0"/>
        <n v="210000.0"/>
        <n v="205000.0"/>
        <n v="170000.0"/>
        <n v="80000.0"/>
        <n v="1220000.0"/>
        <n v="8000.0"/>
        <n v="6000.0"/>
        <n v="5000.0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1:B41" firstHeaderRow="0" firstDataRow="1" firstDataCol="0"/>
  <pivotFields>
    <pivotField name="Ministry / Sector" axis="axisRow" compact="0" outline="0" multipleItemSelectionAllowed="1" showAll="0" sortType="ascending">
      <items>
        <item x="5"/>
        <item x="29"/>
        <item x="27"/>
        <item x="37"/>
        <item x="17"/>
        <item x="11"/>
        <item x="39"/>
        <item x="0"/>
        <item x="25"/>
        <item x="31"/>
        <item x="6"/>
        <item x="8"/>
        <item x="15"/>
        <item x="34"/>
        <item x="20"/>
        <item x="21"/>
        <item x="7"/>
        <item x="4"/>
        <item x="36"/>
        <item x="10"/>
        <item x="13"/>
        <item x="18"/>
        <item x="38"/>
        <item x="32"/>
        <item x="35"/>
        <item x="22"/>
        <item x="30"/>
        <item x="1"/>
        <item x="24"/>
        <item x="2"/>
        <item x="3"/>
        <item x="14"/>
        <item x="26"/>
        <item x="19"/>
        <item x="12"/>
        <item x="28"/>
        <item x="33"/>
        <item x="23"/>
        <item x="16"/>
        <item x="9"/>
        <item t="default"/>
      </items>
    </pivotField>
    <pivotField name="Allocation (₹ Crore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0"/>
  </rowFields>
  <dataFields>
    <dataField name="SUM of Allocation (₹ Crore)" fld="1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rowGrandTotals="0" compact="0" compactData="0">
  <location ref="A1:B40" firstHeaderRow="0" firstDataRow="1" firstDataCol="0"/>
  <pivotFields>
    <pivotField name="Ministry / 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llocation (₹ Crore)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" dataField="1" compact="0" outline="0" multipleItemSelectionAllowed="1" showAll="0">
      <items>
        <item x="0"/>
        <item t="default"/>
      </items>
    </pivotField>
  </pivotFields>
  <rowFields>
    <field x="1"/>
  </rowFields>
  <dataFields>
    <dataField name="SUM of  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>
        <v>785000.0</v>
      </c>
    </row>
    <row r="3">
      <c r="A3" s="3" t="s">
        <v>4</v>
      </c>
      <c r="B3" s="3">
        <v>280000.0</v>
      </c>
    </row>
    <row r="4">
      <c r="A4" s="3" t="s">
        <v>5</v>
      </c>
      <c r="B4" s="3">
        <v>310000.0</v>
      </c>
    </row>
    <row r="5">
      <c r="A5" s="3" t="s">
        <v>6</v>
      </c>
      <c r="B5" s="3">
        <v>273108.0</v>
      </c>
    </row>
    <row r="6">
      <c r="A6" s="3" t="s">
        <v>7</v>
      </c>
      <c r="B6" s="3">
        <v>255234.0</v>
      </c>
    </row>
    <row r="7">
      <c r="A7" s="3" t="s">
        <v>8</v>
      </c>
      <c r="B7" s="3">
        <v>162671.0</v>
      </c>
    </row>
    <row r="8">
      <c r="A8" s="3" t="s">
        <v>9</v>
      </c>
      <c r="B8" s="3">
        <v>139289.0</v>
      </c>
    </row>
    <row r="9">
      <c r="A9" s="3" t="s">
        <v>10</v>
      </c>
      <c r="B9" s="3">
        <v>105530.0</v>
      </c>
    </row>
    <row r="10">
      <c r="A10" s="3" t="s">
        <v>11</v>
      </c>
      <c r="B10" s="3">
        <v>109029.0</v>
      </c>
    </row>
    <row r="11">
      <c r="A11" s="3" t="s">
        <v>12</v>
      </c>
      <c r="B11" s="3">
        <v>85522.0</v>
      </c>
    </row>
    <row r="12">
      <c r="A12" s="3" t="s">
        <v>13</v>
      </c>
      <c r="B12" s="3">
        <v>74560.0</v>
      </c>
    </row>
    <row r="13">
      <c r="A13" s="3" t="s">
        <v>14</v>
      </c>
      <c r="B13" s="3">
        <v>70296.0</v>
      </c>
    </row>
    <row r="14">
      <c r="A14" s="3" t="s">
        <v>15</v>
      </c>
      <c r="B14" s="3">
        <v>62362.0</v>
      </c>
    </row>
    <row r="15">
      <c r="A15" s="3" t="s">
        <v>16</v>
      </c>
      <c r="B15" s="3">
        <v>52158.0</v>
      </c>
    </row>
    <row r="16">
      <c r="A16" s="3" t="s">
        <v>17</v>
      </c>
      <c r="B16" s="3">
        <v>28400.0</v>
      </c>
    </row>
    <row r="17">
      <c r="A17" s="3" t="s">
        <v>18</v>
      </c>
      <c r="B17" s="3">
        <v>30500.0</v>
      </c>
    </row>
    <row r="18">
      <c r="A18" s="3" t="s">
        <v>19</v>
      </c>
      <c r="B18" s="3">
        <v>26500.0</v>
      </c>
    </row>
    <row r="19">
      <c r="A19" s="3" t="s">
        <v>20</v>
      </c>
      <c r="B19" s="3">
        <v>22400.0</v>
      </c>
    </row>
    <row r="20">
      <c r="A20" s="3" t="s">
        <v>21</v>
      </c>
      <c r="B20" s="3">
        <v>18500.0</v>
      </c>
      <c r="C20" s="4"/>
      <c r="D20" s="4"/>
    </row>
    <row r="21">
      <c r="A21" s="3" t="s">
        <v>22</v>
      </c>
      <c r="B21" s="3">
        <v>17200.0</v>
      </c>
      <c r="C21" s="5"/>
      <c r="D21" s="6"/>
      <c r="E21" s="7"/>
      <c r="F21" s="4"/>
    </row>
    <row r="22">
      <c r="A22" s="3" t="s">
        <v>23</v>
      </c>
      <c r="B22" s="3">
        <v>14200.0</v>
      </c>
      <c r="C22" s="8"/>
      <c r="D22" s="8"/>
      <c r="E22" s="8"/>
      <c r="F22" s="8"/>
    </row>
    <row r="23">
      <c r="A23" s="3" t="s">
        <v>24</v>
      </c>
      <c r="B23" s="3">
        <v>15800.0</v>
      </c>
      <c r="C23" s="8"/>
      <c r="D23" s="9"/>
      <c r="E23" s="8"/>
      <c r="F23" s="9"/>
      <c r="G23" s="1"/>
      <c r="H23" s="1"/>
    </row>
    <row r="24">
      <c r="A24" s="3" t="s">
        <v>25</v>
      </c>
      <c r="B24" s="3">
        <v>12000.0</v>
      </c>
      <c r="C24" s="8"/>
      <c r="D24" s="9"/>
      <c r="E24" s="8"/>
      <c r="F24" s="9"/>
    </row>
    <row r="25">
      <c r="A25" s="3" t="s">
        <v>26</v>
      </c>
      <c r="B25" s="3">
        <v>13200.0</v>
      </c>
    </row>
    <row r="26">
      <c r="A26" s="3" t="s">
        <v>27</v>
      </c>
      <c r="B26" s="3">
        <v>19000.0</v>
      </c>
    </row>
    <row r="27">
      <c r="A27" s="3" t="s">
        <v>28</v>
      </c>
      <c r="B27" s="3">
        <v>15000.0</v>
      </c>
    </row>
    <row r="28">
      <c r="A28" s="3" t="s">
        <v>29</v>
      </c>
      <c r="B28" s="3">
        <v>40000.0</v>
      </c>
    </row>
    <row r="29">
      <c r="A29" s="3" t="s">
        <v>30</v>
      </c>
      <c r="B29" s="3">
        <v>10000.0</v>
      </c>
    </row>
    <row r="30">
      <c r="A30" s="3" t="s">
        <v>31</v>
      </c>
      <c r="B30" s="3">
        <v>13000.0</v>
      </c>
    </row>
    <row r="31">
      <c r="A31" s="3" t="s">
        <v>32</v>
      </c>
      <c r="B31" s="3">
        <v>23000.0</v>
      </c>
    </row>
    <row r="32">
      <c r="A32" s="3" t="s">
        <v>33</v>
      </c>
      <c r="B32" s="3">
        <v>90000.0</v>
      </c>
    </row>
    <row r="33">
      <c r="A33" s="3" t="s">
        <v>34</v>
      </c>
      <c r="B33" s="3">
        <v>12000.0</v>
      </c>
    </row>
    <row r="34">
      <c r="A34" s="3" t="s">
        <v>35</v>
      </c>
      <c r="B34" s="3">
        <v>210000.0</v>
      </c>
    </row>
    <row r="35">
      <c r="A35" s="3" t="s">
        <v>36</v>
      </c>
      <c r="B35" s="3">
        <v>205000.0</v>
      </c>
    </row>
    <row r="36">
      <c r="A36" s="3" t="s">
        <v>37</v>
      </c>
      <c r="B36" s="3">
        <v>170000.0</v>
      </c>
    </row>
    <row r="37">
      <c r="A37" s="3" t="s">
        <v>38</v>
      </c>
      <c r="B37" s="3">
        <v>80000.0</v>
      </c>
    </row>
    <row r="38">
      <c r="A38" s="3" t="s">
        <v>39</v>
      </c>
      <c r="B38" s="3">
        <v>1220000.0</v>
      </c>
    </row>
    <row r="39">
      <c r="A39" s="3" t="s">
        <v>40</v>
      </c>
      <c r="B39" s="3">
        <v>8000.0</v>
      </c>
    </row>
    <row r="40">
      <c r="A40" s="3" t="s">
        <v>41</v>
      </c>
      <c r="B40" s="3">
        <v>6000.0</v>
      </c>
    </row>
    <row r="41">
      <c r="A41" s="3" t="s">
        <v>42</v>
      </c>
      <c r="B41" s="3">
        <v>5000.0</v>
      </c>
    </row>
    <row r="43">
      <c r="A43" s="1" t="s">
        <v>43</v>
      </c>
      <c r="B43" s="1" t="s">
        <v>44</v>
      </c>
    </row>
    <row r="44">
      <c r="A44" s="3" t="s">
        <v>45</v>
      </c>
      <c r="B44" s="10">
        <f>SUM(B2:B41)</f>
        <v>5089459</v>
      </c>
    </row>
    <row r="45">
      <c r="A45" s="3" t="s">
        <v>46</v>
      </c>
      <c r="B45" s="3" t="s">
        <v>47</v>
      </c>
    </row>
    <row r="46">
      <c r="A46" s="3" t="s">
        <v>48</v>
      </c>
      <c r="B46" s="3">
        <v>785000.0</v>
      </c>
    </row>
    <row r="47">
      <c r="A47" s="3" t="s">
        <v>49</v>
      </c>
      <c r="B47" s="3">
        <v>162671.0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